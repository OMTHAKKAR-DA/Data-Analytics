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ath\OneDrive\Documents\"/>
    </mc:Choice>
  </mc:AlternateContent>
  <xr:revisionPtr revIDLastSave="0" documentId="13_ncr:1_{825FBB46-2710-44D4-B43F-2B7C3F337AAD}" xr6:coauthVersionLast="47" xr6:coauthVersionMax="47" xr10:uidLastSave="{00000000-0000-0000-0000-000000000000}"/>
  <bookViews>
    <workbookView xWindow="-96" yWindow="-96" windowWidth="23232" windowHeight="12432" xr2:uid="{C4522E08-F096-4316-8B75-33A51A421AE1}"/>
  </bookViews>
  <sheets>
    <sheet name="Vlook up" sheetId="1" r:id="rId1"/>
    <sheet name="Hlook up " sheetId="2" r:id="rId2"/>
    <sheet name="Xlook up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J23" i="3"/>
  <c r="J19" i="3"/>
  <c r="J14" i="3"/>
  <c r="J9" i="3"/>
  <c r="K21" i="2"/>
  <c r="K16" i="2"/>
  <c r="L16" i="2" s="1"/>
  <c r="K13" i="2"/>
  <c r="K8" i="2"/>
  <c r="G9" i="1"/>
  <c r="G8" i="1"/>
  <c r="G7" i="1"/>
  <c r="G6" i="1"/>
  <c r="G5" i="1"/>
  <c r="G4" i="1"/>
  <c r="G3" i="1"/>
  <c r="G2" i="1"/>
  <c r="M32" i="1"/>
  <c r="M27" i="1"/>
  <c r="M18" i="1"/>
  <c r="M23" i="1"/>
  <c r="M13" i="1"/>
  <c r="M9" i="1"/>
</calcChain>
</file>

<file path=xl/sharedStrings.xml><?xml version="1.0" encoding="utf-8"?>
<sst xmlns="http://schemas.openxmlformats.org/spreadsheetml/2006/main" count="194" uniqueCount="63">
  <si>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</si>
  <si>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</si>
  <si>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</si>
  <si>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</si>
  <si>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</si>
  <si>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</si>
  <si>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</si>
  <si>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</si>
  <si>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</si>
  <si>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</si>
  <si>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</si>
  <si>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</si>
  <si>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</si>
  <si>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</si>
  <si>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</si>
  <si>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</si>
  <si>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</si>
  <si>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</si>
  <si>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</si>
  <si>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</si>
  <si>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</si>
  <si>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</si>
  <si>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</si>
  <si>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</si>
  <si>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</si>
  <si>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</si>
  <si>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</si>
  <si>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</si>
  <si>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</si>
  <si>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</si>
  <si>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</si>
  <si>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</si>
  <si>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</si>
  <si>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</si>
  <si>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 xml:space="preserve">Department </t>
  </si>
  <si>
    <t xml:space="preserve">salary </t>
  </si>
  <si>
    <t>Find the Name of employee using EmployeeID from Search_Input.</t>
  </si>
  <si>
    <t>Find the department of employee with id E103</t>
  </si>
  <si>
    <t xml:space="preserve">Find the salary of employee neha singh using v look up </t>
  </si>
  <si>
    <t>Get the location of employee of E107</t>
  </si>
  <si>
    <t>if employee id is not found , display "not found")</t>
  </si>
  <si>
    <t>Employee id</t>
  </si>
  <si>
    <t>E109</t>
  </si>
  <si>
    <t>find the joining year of employee E101</t>
  </si>
  <si>
    <t>joining year</t>
  </si>
  <si>
    <t>Bonus</t>
  </si>
  <si>
    <t xml:space="preserve">Find the bonus % For Finance Department </t>
  </si>
  <si>
    <t>Employee</t>
  </si>
  <si>
    <t>Bonus amount</t>
  </si>
  <si>
    <t xml:space="preserve">employee id </t>
  </si>
  <si>
    <t xml:space="preserve">department </t>
  </si>
  <si>
    <t>BONUS AMOUNT</t>
  </si>
  <si>
    <t>CE</t>
  </si>
  <si>
    <t xml:space="preserve">xlook up </t>
  </si>
  <si>
    <t>salary</t>
  </si>
  <si>
    <t xml:space="preserve">find department using employee name </t>
  </si>
  <si>
    <t>employee name</t>
  </si>
  <si>
    <t>Fetch Location of employee rohit verma</t>
  </si>
  <si>
    <t>employee id</t>
  </si>
  <si>
    <t>E999</t>
  </si>
  <si>
    <t>Bonus Amount</t>
  </si>
  <si>
    <t>Q- if department is invalid " no bonus data "</t>
  </si>
  <si>
    <t xml:space="preserve">Q- Findd the bonus % For IT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</si>
</sst>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i/>
      <u/>
      <sz val="11"/>
      <color theme="1"/>
      <name val="Aptos Narrow"/>
      <family val="2"/>
      <scheme val="minor"/>
    </font>
    <font>
      <sz val="11"/>
      <color rgb="FF1F2328"/>
      <name val="Calibri"/>
      <family val="2"/>
    </font>
    <font>
      <sz val="11"/>
      <color rgb="FF1F232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 wrapText="1"/>
    </xf>
    <xf numFmtId="9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8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9" fontId="0" fillId="0" borderId="1" xfId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5068-7DD2-4207-8C52-73711EB235A0}">
  <dimension ref="A1:P46"/>
  <sheetViews>
    <sheetView tabSelected="1" workbookViewId="0">
      <selection activeCell="F16" sqref="F16"/>
    </sheetView>
  </sheetViews>
  <sheetFormatPr defaultRowHeight="14.4" x14ac:dyDescent="0.55000000000000004"/>
  <cols>
    <col min="1" max="1" width="10.68359375" bestFit="1" customWidth="1"/>
    <col min="2" max="2" width="14.3671875" customWidth="1"/>
    <col min="3" max="3" width="10.7890625" bestFit="1" customWidth="1"/>
    <col min="4" max="4" width="10.9453125" customWidth="1"/>
    <col min="5" max="5" width="10.578125" customWidth="1"/>
    <col min="6" max="6" width="10.20703125" bestFit="1" customWidth="1"/>
    <col min="7" max="7" width="12.83984375" bestFit="1" customWidth="1"/>
    <col min="11" max="11" width="12.83984375" bestFit="1" customWidth="1"/>
    <col min="12" max="12" width="37.7890625" bestFit="1" customWidth="1"/>
    <col min="13" max="13" width="12.5234375" bestFit="1" customWidth="1"/>
    <col min="14" max="14" width="4.83984375" bestFit="1" customWidth="1"/>
    <col min="15" max="15" width="8.26171875" bestFit="1" customWidth="1"/>
    <col min="16" max="16" width="10.83984375" bestFit="1" customWidth="1"/>
    <col min="17" max="17" width="12.734375" customWidth="1"/>
  </cols>
  <sheetData>
    <row r="1" spans="1:1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1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>
        <v>45000</v>
      </c>
      <c r="F2" s="2">
        <v>2019</v>
      </c>
      <c r="G2" s="10">
        <f>E2*L5</f>
        <v>4500</v>
      </c>
    </row>
    <row r="3" spans="1:16" x14ac:dyDescent="0.55000000000000004">
      <c r="A3" s="3" t="s">
        <v>10</v>
      </c>
      <c r="B3" s="3" t="s">
        <v>11</v>
      </c>
      <c r="C3" s="3" t="s">
        <v>12</v>
      </c>
      <c r="D3" s="3" t="s">
        <v>13</v>
      </c>
      <c r="E3" s="3">
        <v>52000</v>
      </c>
      <c r="F3" s="3">
        <v>2018</v>
      </c>
      <c r="G3" s="10">
        <f>E3*M5</f>
        <v>4160</v>
      </c>
    </row>
    <row r="4" spans="1:16" ht="17.399999999999999" x14ac:dyDescent="0.55000000000000004">
      <c r="A4" s="2" t="s">
        <v>14</v>
      </c>
      <c r="B4" s="2" t="s">
        <v>15</v>
      </c>
      <c r="C4" s="2" t="s">
        <v>16</v>
      </c>
      <c r="D4" s="2" t="s">
        <v>17</v>
      </c>
      <c r="E4" s="2">
        <v>65000</v>
      </c>
      <c r="F4" s="2">
        <v>2020</v>
      </c>
      <c r="G4" s="10">
        <f>E4*N5</f>
        <v>7800</v>
      </c>
      <c r="K4" s="4" t="s">
        <v>2</v>
      </c>
      <c r="L4" s="5" t="s">
        <v>8</v>
      </c>
      <c r="M4" s="5" t="s">
        <v>12</v>
      </c>
      <c r="N4" s="5" t="s">
        <v>16</v>
      </c>
      <c r="O4" s="5" t="s">
        <v>20</v>
      </c>
      <c r="P4" s="5" t="s">
        <v>24</v>
      </c>
    </row>
    <row r="5" spans="1:16" ht="17.399999999999999" x14ac:dyDescent="0.55000000000000004">
      <c r="A5" s="3" t="s">
        <v>18</v>
      </c>
      <c r="B5" s="3" t="s">
        <v>19</v>
      </c>
      <c r="C5" s="3" t="s">
        <v>20</v>
      </c>
      <c r="D5" s="3" t="s">
        <v>21</v>
      </c>
      <c r="E5" s="3">
        <v>58000</v>
      </c>
      <c r="F5" s="3">
        <v>2017</v>
      </c>
      <c r="G5" s="10">
        <f>E5*O5</f>
        <v>8700</v>
      </c>
      <c r="K5" s="6" t="s">
        <v>33</v>
      </c>
      <c r="L5" s="7">
        <v>0.1</v>
      </c>
      <c r="M5" s="7">
        <v>0.08</v>
      </c>
      <c r="N5" s="7">
        <v>0.12</v>
      </c>
      <c r="O5" s="7">
        <v>0.15</v>
      </c>
      <c r="P5" s="7">
        <v>0.09</v>
      </c>
    </row>
    <row r="6" spans="1:16" x14ac:dyDescent="0.55000000000000004">
      <c r="A6" s="2" t="s">
        <v>22</v>
      </c>
      <c r="B6" s="2" t="s">
        <v>23</v>
      </c>
      <c r="C6" s="2" t="s">
        <v>24</v>
      </c>
      <c r="D6" s="2" t="s">
        <v>9</v>
      </c>
      <c r="E6" s="2">
        <v>48000</v>
      </c>
      <c r="F6" s="2">
        <v>2021</v>
      </c>
      <c r="G6" s="10">
        <f>E6*P5</f>
        <v>4320</v>
      </c>
      <c r="K6" s="1"/>
    </row>
    <row r="7" spans="1:16" x14ac:dyDescent="0.55000000000000004">
      <c r="A7" s="3" t="s">
        <v>25</v>
      </c>
      <c r="B7" s="3" t="s">
        <v>26</v>
      </c>
      <c r="C7" s="3" t="s">
        <v>16</v>
      </c>
      <c r="D7" s="3" t="s">
        <v>27</v>
      </c>
      <c r="E7" s="3">
        <v>62000</v>
      </c>
      <c r="F7" s="3">
        <v>2019</v>
      </c>
      <c r="G7" s="10">
        <f>E7*N5</f>
        <v>7440</v>
      </c>
      <c r="L7" s="18" t="s">
        <v>36</v>
      </c>
      <c r="M7" s="18"/>
      <c r="N7" s="18"/>
      <c r="O7" s="18"/>
    </row>
    <row r="8" spans="1:16" x14ac:dyDescent="0.55000000000000004">
      <c r="A8" s="2" t="s">
        <v>28</v>
      </c>
      <c r="B8" s="2" t="s">
        <v>29</v>
      </c>
      <c r="C8" s="2" t="s">
        <v>8</v>
      </c>
      <c r="D8" s="2" t="s">
        <v>30</v>
      </c>
      <c r="E8" s="2">
        <v>47000</v>
      </c>
      <c r="F8" s="2">
        <v>2020</v>
      </c>
      <c r="G8" s="10">
        <f>E8*L5</f>
        <v>4700</v>
      </c>
      <c r="L8" s="19" t="s">
        <v>0</v>
      </c>
      <c r="M8" s="19" t="s">
        <v>1</v>
      </c>
      <c r="N8" s="20"/>
      <c r="O8" s="20"/>
    </row>
    <row r="9" spans="1:16" x14ac:dyDescent="0.55000000000000004">
      <c r="A9" s="3" t="s">
        <v>31</v>
      </c>
      <c r="B9" s="3" t="s">
        <v>32</v>
      </c>
      <c r="C9" s="3" t="s">
        <v>12</v>
      </c>
      <c r="D9" s="3" t="s">
        <v>17</v>
      </c>
      <c r="E9" s="3">
        <v>54000</v>
      </c>
      <c r="F9" s="3">
        <v>2016</v>
      </c>
      <c r="G9" s="10">
        <f>E9*M5</f>
        <v>4320</v>
      </c>
      <c r="L9" s="21" t="s">
        <v>18</v>
      </c>
      <c r="M9" s="21" t="str">
        <f>VLOOKUP(L9,A1:F9,2,0)</f>
        <v>Neha Singh</v>
      </c>
      <c r="N9" s="22"/>
      <c r="O9" s="22"/>
    </row>
    <row r="10" spans="1:16" x14ac:dyDescent="0.55000000000000004">
      <c r="L10" s="23"/>
      <c r="M10" s="24"/>
      <c r="N10" s="24"/>
      <c r="O10" s="25"/>
    </row>
    <row r="11" spans="1:16" x14ac:dyDescent="0.55000000000000004">
      <c r="L11" s="26" t="s">
        <v>37</v>
      </c>
      <c r="M11" s="26"/>
      <c r="N11" s="26"/>
      <c r="O11" s="26"/>
    </row>
    <row r="12" spans="1:16" x14ac:dyDescent="0.55000000000000004">
      <c r="L12" s="19" t="s">
        <v>0</v>
      </c>
      <c r="M12" s="19" t="s">
        <v>34</v>
      </c>
      <c r="N12" s="20"/>
      <c r="O12" s="20"/>
    </row>
    <row r="13" spans="1:16" x14ac:dyDescent="0.55000000000000004">
      <c r="L13" s="27" t="s">
        <v>14</v>
      </c>
      <c r="M13" s="27" t="str">
        <f>VLOOKUP(L13,A1:F9,3,0)</f>
        <v>IT</v>
      </c>
      <c r="N13" s="20"/>
      <c r="O13" s="20"/>
    </row>
    <row r="14" spans="1:16" x14ac:dyDescent="0.55000000000000004">
      <c r="L14" s="20"/>
      <c r="M14" s="20"/>
      <c r="N14" s="20"/>
      <c r="O14" s="20"/>
    </row>
    <row r="15" spans="1:16" x14ac:dyDescent="0.55000000000000004">
      <c r="L15" s="28" t="s">
        <v>38</v>
      </c>
      <c r="M15" s="28"/>
      <c r="N15" s="28"/>
      <c r="O15" s="28"/>
    </row>
    <row r="16" spans="1:16" x14ac:dyDescent="0.55000000000000004">
      <c r="L16" s="20"/>
      <c r="M16" s="20"/>
      <c r="N16" s="20"/>
      <c r="O16" s="20"/>
    </row>
    <row r="17" spans="5:15" x14ac:dyDescent="0.55000000000000004">
      <c r="E17" s="11"/>
      <c r="F17" s="11"/>
      <c r="L17" s="19" t="s">
        <v>1</v>
      </c>
      <c r="M17" s="19" t="s">
        <v>4</v>
      </c>
      <c r="N17" s="20"/>
      <c r="O17" s="20"/>
    </row>
    <row r="18" spans="5:15" ht="17.399999999999999" customHeight="1" x14ac:dyDescent="0.55000000000000004">
      <c r="E18" s="11"/>
      <c r="F18" s="11"/>
      <c r="L18" s="3" t="s">
        <v>19</v>
      </c>
      <c r="M18" s="27">
        <f>VLOOKUP(L18,B2:F9,4,0)</f>
        <v>58000</v>
      </c>
      <c r="N18" s="20"/>
      <c r="O18" s="20"/>
    </row>
    <row r="19" spans="5:15" ht="17.399999999999999" customHeight="1" x14ac:dyDescent="0.55000000000000004">
      <c r="E19" s="11"/>
      <c r="F19" s="11"/>
      <c r="L19" s="20"/>
      <c r="M19" s="20"/>
      <c r="N19" s="20"/>
      <c r="O19" s="20"/>
    </row>
    <row r="20" spans="5:15" x14ac:dyDescent="0.55000000000000004">
      <c r="L20" s="20"/>
      <c r="M20" s="20"/>
      <c r="N20" s="20"/>
      <c r="O20" s="20"/>
    </row>
    <row r="21" spans="5:15" x14ac:dyDescent="0.55000000000000004">
      <c r="L21" s="20" t="s">
        <v>39</v>
      </c>
      <c r="M21" s="20"/>
      <c r="N21" s="20"/>
      <c r="O21" s="20"/>
    </row>
    <row r="22" spans="5:15" x14ac:dyDescent="0.55000000000000004">
      <c r="L22" s="19" t="s">
        <v>0</v>
      </c>
      <c r="M22" s="19" t="s">
        <v>3</v>
      </c>
      <c r="N22" s="20"/>
      <c r="O22" s="20"/>
    </row>
    <row r="23" spans="5:15" x14ac:dyDescent="0.55000000000000004">
      <c r="L23" s="27" t="s">
        <v>28</v>
      </c>
      <c r="M23" s="27" t="str">
        <f>VLOOKUP(L23,A1:F9,4,0)</f>
        <v>Hyderabad</v>
      </c>
      <c r="N23" s="20"/>
      <c r="O23" s="20"/>
    </row>
    <row r="24" spans="5:15" x14ac:dyDescent="0.55000000000000004">
      <c r="L24" s="20"/>
      <c r="M24" s="20"/>
      <c r="N24" s="20"/>
      <c r="O24" s="20"/>
    </row>
    <row r="25" spans="5:15" x14ac:dyDescent="0.55000000000000004">
      <c r="L25" s="20" t="s">
        <v>40</v>
      </c>
      <c r="M25" s="20"/>
      <c r="N25" s="20"/>
      <c r="O25" s="20"/>
    </row>
    <row r="26" spans="5:15" x14ac:dyDescent="0.55000000000000004">
      <c r="L26" s="19" t="s">
        <v>41</v>
      </c>
      <c r="M26" s="19" t="s">
        <v>35</v>
      </c>
      <c r="N26" s="20"/>
      <c r="O26" s="20"/>
    </row>
    <row r="27" spans="5:15" x14ac:dyDescent="0.55000000000000004">
      <c r="L27" s="27" t="s">
        <v>42</v>
      </c>
      <c r="M27" s="27" t="str">
        <f>IFERROR(VLOOKUP(L27,A1:F9,5,FALSE),"not found")</f>
        <v>not found</v>
      </c>
      <c r="N27" s="20"/>
      <c r="O27" s="20"/>
    </row>
    <row r="28" spans="5:15" x14ac:dyDescent="0.55000000000000004">
      <c r="L28" s="20"/>
      <c r="M28" s="20"/>
      <c r="N28" s="20"/>
      <c r="O28" s="20"/>
    </row>
    <row r="29" spans="5:15" x14ac:dyDescent="0.55000000000000004">
      <c r="L29" s="20" t="s">
        <v>43</v>
      </c>
      <c r="M29" s="20"/>
      <c r="N29" s="20"/>
      <c r="O29" s="20"/>
    </row>
    <row r="30" spans="5:15" x14ac:dyDescent="0.55000000000000004">
      <c r="L30" s="20"/>
      <c r="M30" s="20"/>
      <c r="N30" s="20"/>
      <c r="O30" s="20"/>
    </row>
    <row r="31" spans="5:15" x14ac:dyDescent="0.55000000000000004">
      <c r="L31" s="19" t="s">
        <v>41</v>
      </c>
      <c r="M31" s="19" t="s">
        <v>44</v>
      </c>
      <c r="N31" s="20"/>
      <c r="O31" s="20"/>
    </row>
    <row r="32" spans="5:15" x14ac:dyDescent="0.55000000000000004">
      <c r="L32" s="27" t="s">
        <v>6</v>
      </c>
      <c r="M32" s="27">
        <f>VLOOKUP(L32,A1:F9,6,0)</f>
        <v>2019</v>
      </c>
      <c r="N32" s="20"/>
      <c r="O32" s="20"/>
    </row>
    <row r="33" spans="12:15" x14ac:dyDescent="0.55000000000000004">
      <c r="L33" s="8"/>
      <c r="M33" s="8"/>
      <c r="N33" s="8"/>
      <c r="O33" s="8"/>
    </row>
    <row r="34" spans="12:15" x14ac:dyDescent="0.55000000000000004">
      <c r="L34" s="12"/>
      <c r="M34" s="8"/>
      <c r="N34" s="8"/>
      <c r="O34" s="8"/>
    </row>
    <row r="35" spans="12:15" x14ac:dyDescent="0.55000000000000004">
      <c r="L35" s="8"/>
      <c r="M35" s="8"/>
      <c r="N35" s="8"/>
      <c r="O35" s="8"/>
    </row>
    <row r="45" spans="12:15" ht="29.4" customHeight="1" x14ac:dyDescent="0.55000000000000004"/>
    <row r="46" spans="12:15" ht="14.7" customHeight="1" x14ac:dyDescent="0.55000000000000004"/>
  </sheetData>
  <mergeCells count="3">
    <mergeCell ref="L7:O7"/>
    <mergeCell ref="L11:O11"/>
    <mergeCell ref="L15:O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E0D8-57A2-4677-B769-CC8E2CD2CCB8}">
  <dimension ref="A1:M25"/>
  <sheetViews>
    <sheetView workbookViewId="0">
      <selection activeCell="F5" sqref="F5"/>
    </sheetView>
  </sheetViews>
  <sheetFormatPr defaultRowHeight="14.4" x14ac:dyDescent="0.55000000000000004"/>
  <cols>
    <col min="1" max="1" width="10.68359375" style="15" bestFit="1" customWidth="1"/>
    <col min="2" max="2" width="13.62890625" style="15" customWidth="1"/>
    <col min="3" max="3" width="10.7890625" style="15" bestFit="1" customWidth="1"/>
    <col min="4" max="4" width="8.62890625" style="15" bestFit="1" customWidth="1"/>
    <col min="5" max="5" width="5.7890625" style="15" bestFit="1" customWidth="1"/>
    <col min="6" max="6" width="10.20703125" style="15" bestFit="1" customWidth="1"/>
    <col min="7" max="7" width="8.83984375" style="15"/>
    <col min="8" max="8" width="12.5234375" style="15" customWidth="1"/>
    <col min="9" max="9" width="5.734375" style="15" bestFit="1" customWidth="1"/>
    <col min="10" max="10" width="35.47265625" style="20" customWidth="1"/>
    <col min="11" max="12" width="14.05078125" style="15" bestFit="1" customWidth="1"/>
    <col min="13" max="13" width="8.26171875" style="15" bestFit="1" customWidth="1"/>
    <col min="14" max="16384" width="8.83984375" style="15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32.4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>
        <v>45000</v>
      </c>
      <c r="F2" s="2">
        <v>2019</v>
      </c>
      <c r="H2" s="16" t="s">
        <v>2</v>
      </c>
      <c r="I2" s="16" t="s">
        <v>8</v>
      </c>
      <c r="J2" s="19" t="s">
        <v>12</v>
      </c>
      <c r="K2" s="16" t="s">
        <v>16</v>
      </c>
      <c r="L2" s="16" t="s">
        <v>20</v>
      </c>
      <c r="M2" s="16" t="s">
        <v>24</v>
      </c>
    </row>
    <row r="3" spans="1:13" ht="16.2" x14ac:dyDescent="0.55000000000000004">
      <c r="A3" s="3" t="s">
        <v>10</v>
      </c>
      <c r="B3" s="3" t="s">
        <v>11</v>
      </c>
      <c r="C3" s="3" t="s">
        <v>12</v>
      </c>
      <c r="D3" s="3" t="s">
        <v>13</v>
      </c>
      <c r="E3" s="3">
        <v>52000</v>
      </c>
      <c r="F3" s="3">
        <v>2018</v>
      </c>
      <c r="H3" s="17" t="s">
        <v>33</v>
      </c>
      <c r="I3" s="30">
        <v>0.1</v>
      </c>
      <c r="J3" s="29">
        <v>0.08</v>
      </c>
      <c r="K3" s="30">
        <v>0.12</v>
      </c>
      <c r="L3" s="30">
        <v>0.15</v>
      </c>
      <c r="M3" s="30">
        <v>0.09</v>
      </c>
    </row>
    <row r="4" spans="1:13" x14ac:dyDescent="0.55000000000000004">
      <c r="A4" s="2" t="s">
        <v>14</v>
      </c>
      <c r="B4" s="2" t="s">
        <v>15</v>
      </c>
      <c r="C4" s="2" t="s">
        <v>16</v>
      </c>
      <c r="D4" s="2" t="s">
        <v>17</v>
      </c>
      <c r="E4" s="2">
        <v>65000</v>
      </c>
      <c r="F4" s="2">
        <v>2020</v>
      </c>
    </row>
    <row r="5" spans="1:13" ht="28.8" customHeight="1" x14ac:dyDescent="0.55000000000000004">
      <c r="A5" s="3" t="s">
        <v>18</v>
      </c>
      <c r="B5" s="3" t="s">
        <v>19</v>
      </c>
      <c r="C5" s="3" t="s">
        <v>20</v>
      </c>
      <c r="D5" s="3" t="s">
        <v>21</v>
      </c>
      <c r="E5" s="3">
        <v>58000</v>
      </c>
      <c r="F5" s="3">
        <v>2017</v>
      </c>
      <c r="J5" s="15"/>
    </row>
    <row r="6" spans="1:13" ht="28.8" customHeight="1" x14ac:dyDescent="0.55000000000000004">
      <c r="A6" s="2" t="s">
        <v>22</v>
      </c>
      <c r="B6" s="2" t="s">
        <v>23</v>
      </c>
      <c r="C6" s="2" t="s">
        <v>24</v>
      </c>
      <c r="D6" s="2" t="s">
        <v>9</v>
      </c>
      <c r="E6" s="2">
        <v>48000</v>
      </c>
      <c r="F6" s="2">
        <v>2021</v>
      </c>
      <c r="J6" s="20" t="s">
        <v>62</v>
      </c>
    </row>
    <row r="7" spans="1:13" ht="28.8" customHeight="1" x14ac:dyDescent="0.55000000000000004">
      <c r="A7" s="3" t="s">
        <v>25</v>
      </c>
      <c r="B7" s="3" t="s">
        <v>26</v>
      </c>
      <c r="C7" s="3" t="s">
        <v>16</v>
      </c>
      <c r="D7" s="3" t="s">
        <v>27</v>
      </c>
      <c r="E7" s="3">
        <v>62000</v>
      </c>
      <c r="F7" s="3">
        <v>2019</v>
      </c>
      <c r="J7" s="1" t="s">
        <v>2</v>
      </c>
      <c r="K7" s="15" t="s">
        <v>45</v>
      </c>
    </row>
    <row r="8" spans="1:13" ht="28.8" x14ac:dyDescent="0.55000000000000004">
      <c r="A8" s="2" t="s">
        <v>28</v>
      </c>
      <c r="B8" s="2" t="s">
        <v>29</v>
      </c>
      <c r="C8" s="2" t="s">
        <v>8</v>
      </c>
      <c r="D8" s="2" t="s">
        <v>30</v>
      </c>
      <c r="E8" s="2">
        <v>47000</v>
      </c>
      <c r="F8" s="2">
        <v>2020</v>
      </c>
      <c r="J8" s="20" t="s">
        <v>16</v>
      </c>
      <c r="K8" s="9">
        <f>HLOOKUP(J8,'Vlook up'!K4:P5,2,0)</f>
        <v>0.12</v>
      </c>
    </row>
    <row r="9" spans="1:13" ht="28.8" customHeight="1" x14ac:dyDescent="0.55000000000000004">
      <c r="A9" s="3" t="s">
        <v>31</v>
      </c>
      <c r="B9" s="3" t="s">
        <v>32</v>
      </c>
      <c r="C9" s="3" t="s">
        <v>12</v>
      </c>
      <c r="D9" s="3" t="s">
        <v>17</v>
      </c>
      <c r="E9" s="3">
        <v>54000</v>
      </c>
      <c r="F9" s="3">
        <v>2016</v>
      </c>
    </row>
    <row r="10" spans="1:13" x14ac:dyDescent="0.55000000000000004">
      <c r="J10" s="20" t="s">
        <v>46</v>
      </c>
    </row>
    <row r="11" spans="1:13" x14ac:dyDescent="0.55000000000000004">
      <c r="J11" s="15"/>
    </row>
    <row r="12" spans="1:13" x14ac:dyDescent="0.55000000000000004">
      <c r="J12" s="1" t="s">
        <v>2</v>
      </c>
      <c r="K12" s="15" t="s">
        <v>45</v>
      </c>
    </row>
    <row r="13" spans="1:13" ht="28.8" customHeight="1" x14ac:dyDescent="0.55000000000000004">
      <c r="J13" s="20" t="s">
        <v>20</v>
      </c>
      <c r="K13" s="9">
        <f>HLOOKUP(J13,'Vlook up'!K4:P5,2,0)</f>
        <v>0.15</v>
      </c>
    </row>
    <row r="14" spans="1:13" x14ac:dyDescent="0.55000000000000004">
      <c r="J14" s="15"/>
    </row>
    <row r="15" spans="1:13" x14ac:dyDescent="0.55000000000000004">
      <c r="J15" s="20" t="s">
        <v>49</v>
      </c>
      <c r="K15" s="15" t="s">
        <v>50</v>
      </c>
      <c r="L15" s="15" t="s">
        <v>60</v>
      </c>
    </row>
    <row r="16" spans="1:13" ht="14.4" customHeight="1" x14ac:dyDescent="0.55000000000000004">
      <c r="J16" s="20" t="s">
        <v>18</v>
      </c>
      <c r="K16" s="15" t="str">
        <f>VLOOKUP(J16,'Vlook up'!A1:G9,3,0)</f>
        <v>Finance</v>
      </c>
      <c r="L16" s="15">
        <f>VLOOKUP(J16,'Vlook up'!A1:G9,5,0)*HLOOKUP(K16,'Vlook up'!K4:P5,2,0)</f>
        <v>8700</v>
      </c>
    </row>
    <row r="17" spans="10:11" x14ac:dyDescent="0.55000000000000004">
      <c r="J17" s="15"/>
    </row>
    <row r="18" spans="10:11" x14ac:dyDescent="0.55000000000000004">
      <c r="J18" s="20" t="s">
        <v>61</v>
      </c>
    </row>
    <row r="19" spans="10:11" x14ac:dyDescent="0.55000000000000004">
      <c r="J19" s="15"/>
    </row>
    <row r="20" spans="10:11" x14ac:dyDescent="0.55000000000000004">
      <c r="J20" s="20" t="s">
        <v>50</v>
      </c>
      <c r="K20" s="15" t="s">
        <v>51</v>
      </c>
    </row>
    <row r="21" spans="10:11" x14ac:dyDescent="0.55000000000000004">
      <c r="J21" s="20" t="s">
        <v>52</v>
      </c>
      <c r="K21" s="15" t="str">
        <f>IFERROR(HLOOKUP(J21,'Vlook up'!K4:P5,2,FALSE),"no bonus data")</f>
        <v>no bonus data</v>
      </c>
    </row>
    <row r="22" spans="10:11" x14ac:dyDescent="0.55000000000000004">
      <c r="J22" s="15"/>
    </row>
    <row r="23" spans="10:11" x14ac:dyDescent="0.55000000000000004">
      <c r="J23" s="15"/>
    </row>
    <row r="24" spans="10:11" x14ac:dyDescent="0.55000000000000004">
      <c r="J24" s="15"/>
    </row>
    <row r="25" spans="10:11" x14ac:dyDescent="0.55000000000000004">
      <c r="J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FBE8-2040-48C5-ABAA-A4559FFBC201}">
  <dimension ref="A1:M31"/>
  <sheetViews>
    <sheetView workbookViewId="0">
      <selection activeCell="H3" sqref="H3"/>
    </sheetView>
  </sheetViews>
  <sheetFormatPr defaultRowHeight="14.4" x14ac:dyDescent="0.55000000000000004"/>
  <cols>
    <col min="1" max="1" width="10.68359375" bestFit="1" customWidth="1"/>
    <col min="2" max="2" width="11.7890625" bestFit="1" customWidth="1"/>
    <col min="3" max="3" width="14.5234375" customWidth="1"/>
    <col min="4" max="4" width="8.62890625" bestFit="1" customWidth="1"/>
    <col min="5" max="5" width="5.7890625" bestFit="1" customWidth="1"/>
    <col min="6" max="6" width="10.20703125" bestFit="1" customWidth="1"/>
    <col min="8" max="8" width="12.7890625" customWidth="1"/>
    <col min="9" max="9" width="31.05078125" bestFit="1" customWidth="1"/>
    <col min="10" max="10" width="15.3671875" customWidth="1"/>
    <col min="11" max="11" width="4.83984375" bestFit="1" customWidth="1"/>
    <col min="12" max="13" width="8.2617187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34.799999999999997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>
        <v>45000</v>
      </c>
      <c r="F2" s="2">
        <v>2019</v>
      </c>
      <c r="H2" s="4" t="s">
        <v>2</v>
      </c>
      <c r="I2" s="5" t="s">
        <v>8</v>
      </c>
      <c r="J2" s="5" t="s">
        <v>12</v>
      </c>
      <c r="K2" s="5" t="s">
        <v>16</v>
      </c>
      <c r="L2" s="5" t="s">
        <v>20</v>
      </c>
      <c r="M2" s="5" t="s">
        <v>24</v>
      </c>
    </row>
    <row r="3" spans="1:13" ht="17.399999999999999" x14ac:dyDescent="0.55000000000000004">
      <c r="A3" s="3" t="s">
        <v>10</v>
      </c>
      <c r="B3" s="3" t="s">
        <v>11</v>
      </c>
      <c r="C3" s="3" t="s">
        <v>12</v>
      </c>
      <c r="D3" s="3" t="s">
        <v>13</v>
      </c>
      <c r="E3" s="3">
        <v>52000</v>
      </c>
      <c r="F3" s="3">
        <v>2018</v>
      </c>
      <c r="H3" s="6" t="s">
        <v>33</v>
      </c>
      <c r="I3" s="7">
        <v>0.1</v>
      </c>
      <c r="J3" s="7">
        <v>0.08</v>
      </c>
      <c r="K3" s="7">
        <v>0.12</v>
      </c>
      <c r="L3" s="7">
        <v>0.15</v>
      </c>
      <c r="M3" s="7">
        <v>0.09</v>
      </c>
    </row>
    <row r="4" spans="1:13" x14ac:dyDescent="0.55000000000000004">
      <c r="A4" s="2" t="s">
        <v>14</v>
      </c>
      <c r="B4" s="2" t="s">
        <v>15</v>
      </c>
      <c r="C4" s="2" t="s">
        <v>16</v>
      </c>
      <c r="D4" s="2" t="s">
        <v>17</v>
      </c>
      <c r="E4" s="2">
        <v>65000</v>
      </c>
      <c r="F4" s="2">
        <v>2020</v>
      </c>
    </row>
    <row r="5" spans="1:13" x14ac:dyDescent="0.55000000000000004">
      <c r="A5" s="3" t="s">
        <v>18</v>
      </c>
      <c r="B5" s="3" t="s">
        <v>19</v>
      </c>
      <c r="C5" s="3" t="s">
        <v>20</v>
      </c>
      <c r="D5" s="3" t="s">
        <v>21</v>
      </c>
      <c r="E5" s="3">
        <v>58000</v>
      </c>
      <c r="F5" s="3">
        <v>2017</v>
      </c>
    </row>
    <row r="6" spans="1:13" x14ac:dyDescent="0.55000000000000004">
      <c r="A6" s="2" t="s">
        <v>22</v>
      </c>
      <c r="B6" s="2" t="s">
        <v>23</v>
      </c>
      <c r="C6" s="2" t="s">
        <v>24</v>
      </c>
      <c r="D6" s="2" t="s">
        <v>9</v>
      </c>
      <c r="E6" s="2">
        <v>48000</v>
      </c>
      <c r="F6" s="2">
        <v>2021</v>
      </c>
      <c r="I6" t="s">
        <v>53</v>
      </c>
    </row>
    <row r="7" spans="1:13" x14ac:dyDescent="0.55000000000000004">
      <c r="A7" s="3" t="s">
        <v>25</v>
      </c>
      <c r="B7" s="3" t="s">
        <v>26</v>
      </c>
      <c r="C7" s="3" t="s">
        <v>16</v>
      </c>
      <c r="D7" s="3" t="s">
        <v>27</v>
      </c>
      <c r="E7" s="3">
        <v>62000</v>
      </c>
      <c r="F7" s="3">
        <v>2019</v>
      </c>
      <c r="I7" s="15"/>
      <c r="J7" s="15"/>
    </row>
    <row r="8" spans="1:13" ht="28.8" x14ac:dyDescent="0.55000000000000004">
      <c r="A8" s="2" t="s">
        <v>28</v>
      </c>
      <c r="B8" s="2" t="s">
        <v>29</v>
      </c>
      <c r="C8" s="2" t="s">
        <v>8</v>
      </c>
      <c r="D8" s="2" t="s">
        <v>30</v>
      </c>
      <c r="E8" s="2">
        <v>47000</v>
      </c>
      <c r="F8" s="2">
        <v>2020</v>
      </c>
      <c r="I8" s="13" t="s">
        <v>47</v>
      </c>
      <c r="J8" s="31" t="s">
        <v>54</v>
      </c>
    </row>
    <row r="9" spans="1:13" x14ac:dyDescent="0.55000000000000004">
      <c r="A9" s="3" t="s">
        <v>31</v>
      </c>
      <c r="B9" s="3" t="s">
        <v>32</v>
      </c>
      <c r="C9" s="3" t="s">
        <v>12</v>
      </c>
      <c r="D9" s="3" t="s">
        <v>17</v>
      </c>
      <c r="E9" s="3">
        <v>54000</v>
      </c>
      <c r="F9" s="3">
        <v>2016</v>
      </c>
      <c r="I9" s="31" t="s">
        <v>18</v>
      </c>
      <c r="J9" s="31">
        <f>_xlfn.XLOOKUP(I9,'Vlook up'!A1:A9,'Vlook up'!E1:E9)</f>
        <v>58000</v>
      </c>
    </row>
    <row r="10" spans="1:13" x14ac:dyDescent="0.55000000000000004">
      <c r="I10" s="15"/>
      <c r="J10" s="9"/>
    </row>
    <row r="11" spans="1:13" x14ac:dyDescent="0.55000000000000004">
      <c r="I11" s="15" t="s">
        <v>55</v>
      </c>
      <c r="J11" s="15"/>
    </row>
    <row r="12" spans="1:13" x14ac:dyDescent="0.55000000000000004">
      <c r="I12" s="15"/>
      <c r="J12" s="15"/>
    </row>
    <row r="13" spans="1:13" x14ac:dyDescent="0.55000000000000004">
      <c r="I13" s="13" t="s">
        <v>56</v>
      </c>
      <c r="J13" s="31" t="s">
        <v>50</v>
      </c>
    </row>
    <row r="14" spans="1:13" x14ac:dyDescent="0.55000000000000004">
      <c r="I14" s="32" t="s">
        <v>15</v>
      </c>
      <c r="J14" s="31" t="str">
        <f>_xlfn.XLOOKUP(I14,'Vlook up'!B1:B9,'Vlook up'!C1:C9)</f>
        <v>IT</v>
      </c>
    </row>
    <row r="15" spans="1:13" x14ac:dyDescent="0.55000000000000004">
      <c r="I15" s="15"/>
      <c r="J15" s="15"/>
    </row>
    <row r="16" spans="1:13" x14ac:dyDescent="0.55000000000000004">
      <c r="I16" s="15"/>
      <c r="J16" s="15"/>
    </row>
    <row r="17" spans="9:10" x14ac:dyDescent="0.55000000000000004">
      <c r="I17" s="15" t="s">
        <v>57</v>
      </c>
      <c r="J17" s="15"/>
    </row>
    <row r="18" spans="9:10" x14ac:dyDescent="0.55000000000000004">
      <c r="I18" s="13" t="s">
        <v>56</v>
      </c>
      <c r="J18" s="31" t="s">
        <v>3</v>
      </c>
    </row>
    <row r="19" spans="9:10" x14ac:dyDescent="0.55000000000000004">
      <c r="I19" s="32" t="s">
        <v>15</v>
      </c>
      <c r="J19" s="31" t="str">
        <f>_xlfn.XLOOKUP(I19,B1:B9,D1:D9)</f>
        <v>Bangalore</v>
      </c>
    </row>
    <row r="20" spans="9:10" x14ac:dyDescent="0.55000000000000004">
      <c r="I20" s="15"/>
      <c r="J20" s="15"/>
    </row>
    <row r="21" spans="9:10" x14ac:dyDescent="0.55000000000000004">
      <c r="I21" s="15"/>
      <c r="J21" s="15"/>
    </row>
    <row r="22" spans="9:10" x14ac:dyDescent="0.55000000000000004">
      <c r="I22" s="13" t="s">
        <v>58</v>
      </c>
      <c r="J22" s="31" t="s">
        <v>3</v>
      </c>
    </row>
    <row r="23" spans="9:10" x14ac:dyDescent="0.55000000000000004">
      <c r="I23" s="32" t="s">
        <v>59</v>
      </c>
      <c r="J23" s="31" t="str">
        <f>_xlfn.XLOOKUP(I23,A1:A9,E1:E9,"Employee Not Found")</f>
        <v>Employee Not Found</v>
      </c>
    </row>
    <row r="24" spans="9:10" x14ac:dyDescent="0.55000000000000004">
      <c r="I24" s="15"/>
      <c r="J24" s="15"/>
    </row>
    <row r="25" spans="9:10" x14ac:dyDescent="0.55000000000000004">
      <c r="I25" s="15"/>
      <c r="J25" s="15"/>
    </row>
    <row r="26" spans="9:10" x14ac:dyDescent="0.55000000000000004">
      <c r="I26" s="31" t="s">
        <v>50</v>
      </c>
      <c r="J26" s="31" t="s">
        <v>60</v>
      </c>
    </row>
    <row r="27" spans="9:10" ht="16.2" x14ac:dyDescent="0.55000000000000004">
      <c r="I27" s="33" t="s">
        <v>8</v>
      </c>
      <c r="J27" s="14">
        <f>_xlfn.XLOOKUP(I27,H2:M2,H3:M3)</f>
        <v>0.1</v>
      </c>
    </row>
    <row r="28" spans="9:10" x14ac:dyDescent="0.55000000000000004">
      <c r="I28" s="15"/>
      <c r="J28" s="15"/>
    </row>
    <row r="29" spans="9:10" x14ac:dyDescent="0.55000000000000004">
      <c r="I29" s="15"/>
      <c r="J29" s="15"/>
    </row>
    <row r="30" spans="9:10" x14ac:dyDescent="0.55000000000000004">
      <c r="I30" s="15"/>
      <c r="J30" s="15"/>
    </row>
    <row r="31" spans="9:10" x14ac:dyDescent="0.55000000000000004">
      <c r="I31" s="15"/>
      <c r="J3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 up</vt:lpstr>
      <vt:lpstr>Hlook up </vt:lpstr>
      <vt:lpstr>Xlook 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Thakkar</dc:creator>
  <cp:lastModifiedBy>Apurva Thakkar</cp:lastModifiedBy>
  <dcterms:created xsi:type="dcterms:W3CDTF">2026-02-01T04:40:44Z</dcterms:created>
  <dcterms:modified xsi:type="dcterms:W3CDTF">2026-02-01T06:47:55Z</dcterms:modified>
</cp:coreProperties>
</file>